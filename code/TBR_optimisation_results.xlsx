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a9b988e12a7c4ce8/Innovation Projects/Masters Project - Neutron Tritium Breeding Modelling/code/"/>
    </mc:Choice>
  </mc:AlternateContent>
  <xr:revisionPtr revIDLastSave="165" documentId="11_F25DC773A252ABDACC10485B691C6E565BDE58E9" xr6:coauthVersionLast="47" xr6:coauthVersionMax="47" xr10:uidLastSave="{329EA053-F875-409A-9AB9-F192913B92D4}"/>
  <bookViews>
    <workbookView minimized="1" xWindow="16320" yWindow="2470" windowWidth="19010" windowHeight="1581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1" i="1" l="1"/>
  <c r="H11" i="1"/>
  <c r="G11" i="1"/>
  <c r="L10" i="1"/>
  <c r="L7" i="1"/>
  <c r="L9" i="1"/>
  <c r="L8" i="1"/>
  <c r="D9" i="1"/>
  <c r="C9" i="1"/>
  <c r="L6" i="1"/>
  <c r="L5" i="1"/>
  <c r="E6" i="1"/>
  <c r="D6" i="1"/>
  <c r="C6" i="1"/>
  <c r="L4" i="1"/>
  <c r="L11" i="1" l="1"/>
</calcChain>
</file>

<file path=xl/sharedStrings.xml><?xml version="1.0" encoding="utf-8"?>
<sst xmlns="http://schemas.openxmlformats.org/spreadsheetml/2006/main" count="23" uniqueCount="23">
  <si>
    <t>Runname</t>
  </si>
  <si>
    <t>B1</t>
  </si>
  <si>
    <t>B2</t>
  </si>
  <si>
    <t>B3</t>
  </si>
  <si>
    <t>B4</t>
  </si>
  <si>
    <t>C1</t>
  </si>
  <si>
    <t>C2</t>
  </si>
  <si>
    <t>C3</t>
  </si>
  <si>
    <t>C4</t>
  </si>
  <si>
    <t>TBR</t>
  </si>
  <si>
    <t>Unc</t>
  </si>
  <si>
    <t>8D Constrained Assumption (Max 44)</t>
  </si>
  <si>
    <t>8D ML Optimisation</t>
  </si>
  <si>
    <t>Sum</t>
  </si>
  <si>
    <t>Constraint</t>
  </si>
  <si>
    <t>Exponential Decay Parameter</t>
  </si>
  <si>
    <t>4D Breeder Constrained ML Optimisation (Max Breeders 32)</t>
  </si>
  <si>
    <t>8D Constrained ML Optimsed Result (Max 44)</t>
  </si>
  <si>
    <t>8D Constrained ML Theorised Result (Max 44)</t>
  </si>
  <si>
    <t>4D Breeder Constrained ML Theorised (Max Breeders 32)</t>
  </si>
  <si>
    <t>4D Breeder Constrained Assumption (Max Breeders 32)</t>
  </si>
  <si>
    <t>4D Coolant Constrained Assumption &amp; ML Optimisation (Min Coolants 12)</t>
  </si>
  <si>
    <t>4D Coolant Constrained Theorised (Min Coolants 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</si>
</sst>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569CD6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N11"/>
  <sheetViews>
    <sheetView tabSelected="1" workbookViewId="0">
      <selection activeCell="G18" sqref="G18"/>
    </sheetView>
  </sheetViews>
  <sheetFormatPr defaultRowHeight="14.5" x14ac:dyDescent="0.35"/>
  <cols>
    <col min="1" max="1" width="34.81640625" customWidth="1"/>
    <col min="2" max="2" width="7.81640625" customWidth="1"/>
  </cols>
  <sheetData>
    <row r="2" spans="1:14" x14ac:dyDescent="0.35">
      <c r="A2" s="3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13</v>
      </c>
      <c r="M2" t="s">
        <v>14</v>
      </c>
      <c r="N2" t="s">
        <v>15</v>
      </c>
    </row>
    <row r="3" spans="1:14" x14ac:dyDescent="0.35">
      <c r="A3" s="3" t="s">
        <v>12</v>
      </c>
      <c r="B3" s="2">
        <v>16</v>
      </c>
      <c r="C3" s="1">
        <v>16</v>
      </c>
      <c r="D3" s="1">
        <v>16</v>
      </c>
      <c r="E3" s="1">
        <v>16</v>
      </c>
      <c r="F3" s="1">
        <v>1.5</v>
      </c>
      <c r="G3" s="1">
        <v>1.5</v>
      </c>
      <c r="H3" s="1">
        <v>1.5</v>
      </c>
      <c r="I3" s="1">
        <v>1.5</v>
      </c>
      <c r="J3" s="1">
        <v>1.4054738667731099</v>
      </c>
      <c r="K3" s="1">
        <v>3.3E-3</v>
      </c>
    </row>
    <row r="4" spans="1:14" x14ac:dyDescent="0.35">
      <c r="A4" s="3" t="s">
        <v>11</v>
      </c>
      <c r="B4">
        <v>16</v>
      </c>
      <c r="C4">
        <v>16</v>
      </c>
      <c r="D4">
        <v>3</v>
      </c>
      <c r="E4">
        <v>3</v>
      </c>
      <c r="F4">
        <v>1.5</v>
      </c>
      <c r="G4">
        <v>1.5</v>
      </c>
      <c r="H4">
        <v>1.5</v>
      </c>
      <c r="I4">
        <v>1.5</v>
      </c>
      <c r="J4">
        <v>1.3303</v>
      </c>
      <c r="K4">
        <v>3.3E-3</v>
      </c>
      <c r="L4">
        <f t="shared" ref="L4:L11" si="0">SUM(B4:I4)</f>
        <v>44</v>
      </c>
      <c r="M4">
        <v>44</v>
      </c>
    </row>
    <row r="5" spans="1:14" ht="29" x14ac:dyDescent="0.35">
      <c r="A5" s="3" t="s">
        <v>17</v>
      </c>
      <c r="B5">
        <v>16</v>
      </c>
      <c r="C5">
        <v>10.5335</v>
      </c>
      <c r="D5">
        <v>6.6130000000000004</v>
      </c>
      <c r="E5">
        <v>4.8535000000000004</v>
      </c>
      <c r="F5">
        <v>1.5</v>
      </c>
      <c r="G5">
        <v>1.5</v>
      </c>
      <c r="H5">
        <v>1.5</v>
      </c>
      <c r="I5">
        <v>1.5</v>
      </c>
      <c r="J5">
        <v>1.3291999999999999</v>
      </c>
      <c r="K5">
        <v>5.0000000000000001E-4</v>
      </c>
      <c r="L5">
        <f t="shared" si="0"/>
        <v>44</v>
      </c>
      <c r="M5">
        <v>44</v>
      </c>
    </row>
    <row r="6" spans="1:14" ht="29" x14ac:dyDescent="0.35">
      <c r="A6" s="3" t="s">
        <v>18</v>
      </c>
      <c r="B6">
        <v>16</v>
      </c>
      <c r="C6">
        <f>$B6*EXP(-1*$N6)</f>
        <v>10.524207757831928</v>
      </c>
      <c r="D6">
        <f>$B6*EXP(-2*$N6)</f>
        <v>6.9224343081256094</v>
      </c>
      <c r="E6">
        <f>$B6*EXP(-3*$N6)</f>
        <v>4.5533210530410901</v>
      </c>
      <c r="F6">
        <v>1.5</v>
      </c>
      <c r="G6">
        <v>1.5</v>
      </c>
      <c r="H6">
        <v>1.5</v>
      </c>
      <c r="I6">
        <v>1.5</v>
      </c>
      <c r="J6">
        <v>1.3304</v>
      </c>
      <c r="K6">
        <v>3.2000000000000002E-3</v>
      </c>
      <c r="L6">
        <f t="shared" si="0"/>
        <v>43.999963118998622</v>
      </c>
      <c r="M6">
        <v>44</v>
      </c>
      <c r="N6">
        <v>0.41891061791946521</v>
      </c>
    </row>
    <row r="7" spans="1:14" ht="29" x14ac:dyDescent="0.35">
      <c r="A7" s="3" t="s">
        <v>20</v>
      </c>
      <c r="B7">
        <v>16</v>
      </c>
      <c r="C7">
        <v>10</v>
      </c>
      <c r="D7">
        <v>3</v>
      </c>
      <c r="E7">
        <v>3</v>
      </c>
      <c r="F7">
        <v>1.5</v>
      </c>
      <c r="G7">
        <v>1.5</v>
      </c>
      <c r="H7">
        <v>1.5</v>
      </c>
      <c r="I7">
        <v>1.5</v>
      </c>
      <c r="J7">
        <v>1.2805</v>
      </c>
      <c r="K7">
        <v>2.5999999999999999E-3</v>
      </c>
      <c r="L7">
        <f t="shared" si="0"/>
        <v>38</v>
      </c>
      <c r="M7">
        <v>38</v>
      </c>
    </row>
    <row r="8" spans="1:14" ht="29" x14ac:dyDescent="0.35">
      <c r="A8" s="3" t="s">
        <v>16</v>
      </c>
      <c r="B8">
        <v>16</v>
      </c>
      <c r="C8">
        <v>9.8678000000000008</v>
      </c>
      <c r="D8">
        <v>3.1322000000000001</v>
      </c>
      <c r="E8">
        <v>3</v>
      </c>
      <c r="F8">
        <v>1.5</v>
      </c>
      <c r="G8">
        <v>1.5</v>
      </c>
      <c r="H8">
        <v>1.5</v>
      </c>
      <c r="I8">
        <v>1.5</v>
      </c>
      <c r="J8">
        <v>1.2830999999999999</v>
      </c>
      <c r="K8">
        <v>1E-3</v>
      </c>
      <c r="L8">
        <f t="shared" si="0"/>
        <v>38</v>
      </c>
      <c r="M8">
        <v>38</v>
      </c>
    </row>
    <row r="9" spans="1:14" ht="29" x14ac:dyDescent="0.35">
      <c r="A9" s="3" t="s">
        <v>19</v>
      </c>
      <c r="B9">
        <v>16</v>
      </c>
      <c r="C9">
        <f>$B9*EXP(-1*$N9)</f>
        <v>8.4927262396324981</v>
      </c>
      <c r="D9">
        <f>$B9*EXP(-2*$N9)</f>
        <v>4.5078999363338967</v>
      </c>
      <c r="E9">
        <v>3</v>
      </c>
      <c r="F9">
        <v>1.5</v>
      </c>
      <c r="G9">
        <v>1.5</v>
      </c>
      <c r="H9">
        <v>1.5</v>
      </c>
      <c r="I9">
        <v>1.5</v>
      </c>
      <c r="J9">
        <v>1.2766</v>
      </c>
      <c r="K9">
        <v>2.8E-3</v>
      </c>
      <c r="L9">
        <f t="shared" si="0"/>
        <v>38.000626175966389</v>
      </c>
      <c r="M9">
        <v>38</v>
      </c>
      <c r="N9">
        <v>0.63337866160883993</v>
      </c>
    </row>
    <row r="10" spans="1:14" ht="29" x14ac:dyDescent="0.35">
      <c r="A10" s="3" t="s">
        <v>21</v>
      </c>
      <c r="B10">
        <v>8</v>
      </c>
      <c r="C10">
        <v>8</v>
      </c>
      <c r="D10">
        <v>8</v>
      </c>
      <c r="E10">
        <v>8</v>
      </c>
      <c r="F10">
        <v>1.5</v>
      </c>
      <c r="G10">
        <v>1.5</v>
      </c>
      <c r="H10">
        <v>3</v>
      </c>
      <c r="I10">
        <v>6</v>
      </c>
      <c r="J10">
        <v>1.208</v>
      </c>
      <c r="K10">
        <v>1.1000000000000001E-3</v>
      </c>
      <c r="L10">
        <f t="shared" si="0"/>
        <v>44</v>
      </c>
      <c r="M10">
        <v>44</v>
      </c>
    </row>
    <row r="11" spans="1:14" ht="29" x14ac:dyDescent="0.35">
      <c r="A11" s="3" t="s">
        <v>22</v>
      </c>
      <c r="B11">
        <v>8</v>
      </c>
      <c r="C11">
        <v>8</v>
      </c>
      <c r="D11">
        <v>8</v>
      </c>
      <c r="E11">
        <v>8</v>
      </c>
      <c r="F11">
        <v>1.5</v>
      </c>
      <c r="G11">
        <f>$F11*EXP(1*$N11)</f>
        <v>2.2324630532318399</v>
      </c>
      <c r="H11">
        <f>$F11*EXP(2*$N11)</f>
        <v>3.3225941893634863</v>
      </c>
      <c r="I11">
        <f>$F11*EXP(3*$N11)</f>
        <v>4.9450458457578534</v>
      </c>
      <c r="J11">
        <v>1.2021999999999999</v>
      </c>
      <c r="K11">
        <v>3.8E-3</v>
      </c>
      <c r="L11">
        <f t="shared" si="0"/>
        <v>44.000103088353178</v>
      </c>
      <c r="M11">
        <v>44</v>
      </c>
      <c r="N11">
        <v>0.39764037601919316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Vadan Khan</dc:creator>
  <cp:lastModifiedBy>Vadan Khan</cp:lastModifiedBy>
  <dcterms:created xsi:type="dcterms:W3CDTF">2015-06-05T18:17:20Z</dcterms:created>
  <dcterms:modified xsi:type="dcterms:W3CDTF">2026-04-12T15:32:57Z</dcterms:modified>
</cp:coreProperties>
</file>